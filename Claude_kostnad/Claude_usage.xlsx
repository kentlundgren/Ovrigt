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68e0e598e90526/AI/Claude/Ovrigt/Claude_kostnad/"/>
    </mc:Choice>
  </mc:AlternateContent>
  <xr:revisionPtr revIDLastSave="178" documentId="8_{47C55551-E54E-40CD-A718-3CAE99F89ED7}" xr6:coauthVersionLast="47" xr6:coauthVersionMax="47" xr10:uidLastSave="{381A6CBD-5B9E-4FA6-94FF-BC80D496E2F6}"/>
  <bookViews>
    <workbookView xWindow="3225" yWindow="1140" windowWidth="21600" windowHeight="11295" activeTab="2" xr2:uid="{FC573CD4-0E63-4713-BCBE-D8AF6B5A970C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" l="1"/>
  <c r="L20" i="1"/>
  <c r="L21" i="1" s="1"/>
  <c r="L22" i="1" s="1"/>
  <c r="K20" i="1"/>
  <c r="K21" i="1" s="1"/>
  <c r="K22" i="1" s="1"/>
</calcChain>
</file>

<file path=xl/sharedStrings.xml><?xml version="1.0" encoding="utf-8"?>
<sst xmlns="http://schemas.openxmlformats.org/spreadsheetml/2006/main" count="82" uniqueCount="43">
  <si>
    <t>Thu</t>
  </si>
  <si>
    <t>kl 08</t>
  </si>
  <si>
    <t>månd</t>
  </si>
  <si>
    <t>Tisdag</t>
  </si>
  <si>
    <t>onsdag</t>
  </si>
  <si>
    <t>Friday</t>
  </si>
  <si>
    <t>Lördag</t>
  </si>
  <si>
    <t>Söndag</t>
  </si>
  <si>
    <t>Kvar</t>
  </si>
  <si>
    <t>Men jag har "bara" använt 59 % av mina vecko-tookens</t>
  </si>
  <si>
    <t>Jag har nu, kl 23 måndag, använt 59 % av mina tookens.</t>
  </si>
  <si>
    <t>Räkneverket nollställs Thursday kl 08.</t>
  </si>
  <si>
    <t xml:space="preserve">     (eftersom det är 1+24+24+8 timmar kvar till nollställning). </t>
  </si>
  <si>
    <t>Det har gått 66,1 % av tiden till återställning på veckobasis</t>
  </si>
  <si>
    <t>Därmed ligger jag 7 procentenheter under min veckoranson av tookens (eller hur?) (41-34=7 %-enheter)</t>
  </si>
  <si>
    <t>MEN detta stämmer inte - eftersom just nu har jag boostad tillgång av tookens, så jag ligger över min normala Claude-pro-abonnemang. Eller hur!?</t>
  </si>
  <si>
    <t>Hade det varit 41 % av av en vecka kvar till återställning av vecko-tookens hade jag legat precis i fas med med mitt pro-Claude-abonnemang. Trodde jag först…</t>
  </si>
  <si>
    <t xml:space="preserve">Utveckla </t>
  </si>
  <si>
    <t>https://kentlundgren.github.io/Ovrigt/Claude_kostnad/index.html</t>
  </si>
  <si>
    <t>Vad jag köpt extra under april månad:</t>
  </si>
  <si>
    <t>EUR</t>
  </si>
  <si>
    <t>Har jag köpt något extra denna månad, i augusti 2026:</t>
  </si>
  <si>
    <t>TOT</t>
  </si>
  <si>
    <t>Måndag</t>
  </si>
  <si>
    <t>Onsdag</t>
  </si>
  <si>
    <t>Torsdag</t>
  </si>
  <si>
    <t>Fredag</t>
  </si>
  <si>
    <t>Kommentar</t>
  </si>
  <si>
    <t>Idag</t>
  </si>
  <si>
    <t>Onsdag förra veckan</t>
  </si>
  <si>
    <t>Torsdag förra veckan</t>
  </si>
  <si>
    <t>Fredag förra veckan</t>
  </si>
  <si>
    <t>Lördag förra veckan</t>
  </si>
  <si>
    <t>Söndag förra veckan</t>
  </si>
  <si>
    <t>Igår</t>
  </si>
  <si>
    <t>Förbrukning senaste veckan</t>
  </si>
  <si>
    <t>imorgon onsdag kommer det fungerar på detta sätt</t>
  </si>
  <si>
    <t>(om jag inte gör något mer idag)</t>
  </si>
  <si>
    <t>Summa senaste veckan:</t>
  </si>
  <si>
    <t>igår</t>
  </si>
  <si>
    <t>i förrgår</t>
  </si>
  <si>
    <t>morgondagens vecka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</si>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</sst>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1" applyFont="1"/>
    <xf numFmtId="14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4" fontId="1" fillId="0" borderId="0" xfId="0" applyNumberFormat="1" applyFont="1"/>
    <xf numFmtId="0" fontId="8" fillId="0" borderId="0" xfId="0" applyFont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10</xdr:row>
      <xdr:rowOff>142875</xdr:rowOff>
    </xdr:from>
    <xdr:to>
      <xdr:col>22</xdr:col>
      <xdr:colOff>570357</xdr:colOff>
      <xdr:row>35</xdr:row>
      <xdr:rowOff>132756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2BAC2AC7-3F69-BF65-9933-DF131C0E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2047875"/>
          <a:ext cx="9142857" cy="4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590550</xdr:colOff>
      <xdr:row>63</xdr:row>
      <xdr:rowOff>47625</xdr:rowOff>
    </xdr:from>
    <xdr:to>
      <xdr:col>20</xdr:col>
      <xdr:colOff>598920</xdr:colOff>
      <xdr:row>99</xdr:row>
      <xdr:rowOff>113434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6EF3B2DF-A4DF-79A6-21D7-19BA52283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12039600"/>
          <a:ext cx="9238095" cy="69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10</xdr:row>
      <xdr:rowOff>180974</xdr:rowOff>
    </xdr:from>
    <xdr:to>
      <xdr:col>21</xdr:col>
      <xdr:colOff>75032</xdr:colOff>
      <xdr:row>61</xdr:row>
      <xdr:rowOff>19049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D561242E-6A37-3EE5-7026-13243D4FB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0" y="1971674"/>
          <a:ext cx="9342857" cy="955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kentlundgren.github.io/Ovrigt/Claude_kostnad/index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kentlundgren.github.io/Ovrigt/Claude_kostnad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F2DA-B207-4AB6-8F36-12DE6A1A841A}">
  <dimension ref="I1:Q22"/>
  <sheetViews>
    <sheetView workbookViewId="0">
      <selection activeCell="AA11" sqref="AA11"/>
    </sheetView>
  </sheetViews>
  <sheetFormatPr defaultRowHeight="15" x14ac:dyDescent="0.25"/>
  <sheetData>
    <row r="1" spans="9:17" ht="15.75" x14ac:dyDescent="0.25">
      <c r="I1" s="5" t="s">
        <v>17</v>
      </c>
      <c r="J1" s="6" t="s">
        <v>18</v>
      </c>
      <c r="K1" s="5"/>
      <c r="L1" s="5"/>
      <c r="M1" s="5"/>
      <c r="N1" s="5"/>
      <c r="O1" s="5"/>
      <c r="P1" s="5"/>
      <c r="Q1" s="5"/>
    </row>
    <row r="2" spans="9:17" ht="9.75" customHeight="1" x14ac:dyDescent="0.25"/>
    <row r="3" spans="9:17" x14ac:dyDescent="0.25">
      <c r="I3" t="s">
        <v>10</v>
      </c>
    </row>
    <row r="4" spans="9:17" x14ac:dyDescent="0.25">
      <c r="I4" t="s">
        <v>11</v>
      </c>
    </row>
    <row r="5" spans="9:17" x14ac:dyDescent="0.25">
      <c r="I5" t="s">
        <v>13</v>
      </c>
    </row>
    <row r="6" spans="9:17" x14ac:dyDescent="0.25">
      <c r="I6" t="s">
        <v>12</v>
      </c>
    </row>
    <row r="7" spans="9:17" x14ac:dyDescent="0.25">
      <c r="I7" t="s">
        <v>9</v>
      </c>
    </row>
    <row r="8" spans="9:17" x14ac:dyDescent="0.25">
      <c r="I8" t="s">
        <v>14</v>
      </c>
    </row>
    <row r="9" spans="9:17" x14ac:dyDescent="0.25">
      <c r="I9" t="s">
        <v>16</v>
      </c>
    </row>
    <row r="10" spans="9:17" x14ac:dyDescent="0.25">
      <c r="I10" s="3" t="s">
        <v>15</v>
      </c>
    </row>
    <row r="12" spans="9:17" x14ac:dyDescent="0.25">
      <c r="L12" s="2" t="s">
        <v>8</v>
      </c>
    </row>
    <row r="13" spans="9:17" x14ac:dyDescent="0.25">
      <c r="I13" t="s">
        <v>2</v>
      </c>
      <c r="K13">
        <v>24</v>
      </c>
      <c r="L13">
        <v>1</v>
      </c>
    </row>
    <row r="14" spans="9:17" x14ac:dyDescent="0.25">
      <c r="I14" t="s">
        <v>3</v>
      </c>
      <c r="K14">
        <v>24</v>
      </c>
      <c r="L14">
        <v>24</v>
      </c>
    </row>
    <row r="15" spans="9:17" x14ac:dyDescent="0.25">
      <c r="I15" t="s">
        <v>4</v>
      </c>
      <c r="K15">
        <v>24</v>
      </c>
      <c r="L15">
        <v>24</v>
      </c>
    </row>
    <row r="16" spans="9:17" x14ac:dyDescent="0.25">
      <c r="I16" t="s">
        <v>0</v>
      </c>
      <c r="J16" t="s">
        <v>1</v>
      </c>
      <c r="K16">
        <v>8</v>
      </c>
      <c r="L16">
        <v>8</v>
      </c>
    </row>
    <row r="17" spans="9:12" x14ac:dyDescent="0.25">
      <c r="I17" t="s">
        <v>5</v>
      </c>
    </row>
    <row r="18" spans="9:12" x14ac:dyDescent="0.25">
      <c r="I18" t="s">
        <v>6</v>
      </c>
    </row>
    <row r="19" spans="9:12" x14ac:dyDescent="0.25">
      <c r="I19" t="s">
        <v>7</v>
      </c>
    </row>
    <row r="20" spans="9:12" x14ac:dyDescent="0.25">
      <c r="K20">
        <f>SUM(K13:K19)</f>
        <v>80</v>
      </c>
      <c r="L20">
        <f>SUM(L13:L19)</f>
        <v>57</v>
      </c>
    </row>
    <row r="21" spans="9:12" x14ac:dyDescent="0.25">
      <c r="K21">
        <f>K20/(7*24)</f>
        <v>0.47619047619047616</v>
      </c>
      <c r="L21" s="1">
        <f>L20/(7*24)</f>
        <v>0.3392857142857143</v>
      </c>
    </row>
    <row r="22" spans="9:12" x14ac:dyDescent="0.25">
      <c r="K22">
        <f>1-K21</f>
        <v>0.52380952380952384</v>
      </c>
      <c r="L22" s="1">
        <f>1-L21</f>
        <v>0.6607142857142857</v>
      </c>
    </row>
  </sheetData>
  <hyperlinks>
    <hyperlink ref="J1" r:id="rId1" xr:uid="{3C0910C9-889C-4471-9944-487CEFBFB17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D97A-C046-4E26-9C29-4DD7EDCC8104}">
  <dimension ref="F1:I63"/>
  <sheetViews>
    <sheetView workbookViewId="0">
      <selection activeCell="N7" sqref="N7"/>
    </sheetView>
  </sheetViews>
  <sheetFormatPr defaultRowHeight="15" x14ac:dyDescent="0.25"/>
  <cols>
    <col min="7" max="7" width="10.42578125" bestFit="1" customWidth="1"/>
  </cols>
  <sheetData>
    <row r="1" spans="6:9" x14ac:dyDescent="0.25">
      <c r="G1" s="4" t="s">
        <v>18</v>
      </c>
    </row>
    <row r="3" spans="6:9" ht="21" x14ac:dyDescent="0.35">
      <c r="G3" s="8" t="s">
        <v>19</v>
      </c>
    </row>
    <row r="5" spans="6:9" x14ac:dyDescent="0.25">
      <c r="G5" s="7">
        <v>46125</v>
      </c>
      <c r="H5" s="11">
        <v>6.25</v>
      </c>
      <c r="I5" t="s">
        <v>20</v>
      </c>
    </row>
    <row r="6" spans="6:9" x14ac:dyDescent="0.25">
      <c r="G6" s="7">
        <v>46139</v>
      </c>
      <c r="H6" s="11">
        <v>47.81</v>
      </c>
      <c r="I6" t="s">
        <v>20</v>
      </c>
    </row>
    <row r="7" spans="6:9" x14ac:dyDescent="0.25">
      <c r="G7" s="7">
        <v>46140</v>
      </c>
      <c r="H7" s="11">
        <v>12.5</v>
      </c>
      <c r="I7" t="s">
        <v>20</v>
      </c>
    </row>
    <row r="8" spans="6:9" x14ac:dyDescent="0.25">
      <c r="F8" s="10"/>
      <c r="G8" s="7">
        <v>46122</v>
      </c>
      <c r="H8" s="11">
        <v>12.5</v>
      </c>
      <c r="I8" t="s">
        <v>20</v>
      </c>
    </row>
    <row r="9" spans="6:9" x14ac:dyDescent="0.25">
      <c r="F9" s="10"/>
      <c r="G9" s="7">
        <v>46122</v>
      </c>
      <c r="H9" s="11">
        <v>12.5</v>
      </c>
      <c r="I9" t="s">
        <v>20</v>
      </c>
    </row>
    <row r="10" spans="6:9" x14ac:dyDescent="0.25">
      <c r="G10" s="1" t="s">
        <v>22</v>
      </c>
      <c r="H10" s="12">
        <f>SUM(H5:H9)</f>
        <v>91.56</v>
      </c>
      <c r="I10" t="s">
        <v>20</v>
      </c>
    </row>
    <row r="63" spans="7:7" ht="23.25" x14ac:dyDescent="0.35">
      <c r="G63" s="9" t="s">
        <v>21</v>
      </c>
    </row>
  </sheetData>
  <hyperlinks>
    <hyperlink ref="G1" r:id="rId1" xr:uid="{10317F2F-351C-4BF7-AB20-570B457158DA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F86F-068A-496A-AD37-CE907E4A8548}">
  <dimension ref="E4:P16"/>
  <sheetViews>
    <sheetView tabSelected="1" workbookViewId="0">
      <selection activeCell="O19" sqref="O19"/>
    </sheetView>
  </sheetViews>
  <sheetFormatPr defaultRowHeight="15" x14ac:dyDescent="0.25"/>
  <sheetData>
    <row r="4" spans="5:16" x14ac:dyDescent="0.25">
      <c r="K4" t="s">
        <v>36</v>
      </c>
    </row>
    <row r="5" spans="5:16" x14ac:dyDescent="0.25">
      <c r="K5" t="s">
        <v>37</v>
      </c>
    </row>
    <row r="7" spans="5:16" ht="18.75" x14ac:dyDescent="0.3">
      <c r="E7" s="13" t="s">
        <v>35</v>
      </c>
      <c r="L7" s="13" t="s">
        <v>35</v>
      </c>
    </row>
    <row r="8" spans="5:16" x14ac:dyDescent="0.25">
      <c r="I8" s="1" t="s">
        <v>27</v>
      </c>
      <c r="P8" s="1" t="s">
        <v>27</v>
      </c>
    </row>
    <row r="9" spans="5:16" x14ac:dyDescent="0.25">
      <c r="F9" t="s">
        <v>23</v>
      </c>
      <c r="H9" t="s">
        <v>20</v>
      </c>
      <c r="I9" t="s">
        <v>34</v>
      </c>
      <c r="M9" t="s">
        <v>23</v>
      </c>
      <c r="O9" t="s">
        <v>20</v>
      </c>
      <c r="P9" t="s">
        <v>40</v>
      </c>
    </row>
    <row r="10" spans="5:16" x14ac:dyDescent="0.25">
      <c r="F10" s="1" t="s">
        <v>3</v>
      </c>
      <c r="G10" s="1">
        <v>9.0399999999999991</v>
      </c>
      <c r="H10" t="s">
        <v>20</v>
      </c>
      <c r="I10" t="s">
        <v>28</v>
      </c>
      <c r="M10" s="1" t="s">
        <v>3</v>
      </c>
      <c r="N10" s="1">
        <v>9.0399999999999991</v>
      </c>
      <c r="O10" t="s">
        <v>20</v>
      </c>
      <c r="P10" t="s">
        <v>39</v>
      </c>
    </row>
    <row r="11" spans="5:16" x14ac:dyDescent="0.25">
      <c r="F11" t="s">
        <v>24</v>
      </c>
      <c r="H11" t="s">
        <v>20</v>
      </c>
      <c r="I11" t="s">
        <v>29</v>
      </c>
      <c r="M11" t="s">
        <v>24</v>
      </c>
      <c r="N11" s="10" t="s">
        <v>42</v>
      </c>
      <c r="O11" t="s">
        <v>20</v>
      </c>
      <c r="P11" t="s">
        <v>41</v>
      </c>
    </row>
    <row r="12" spans="5:16" x14ac:dyDescent="0.25">
      <c r="F12" t="s">
        <v>25</v>
      </c>
      <c r="H12" t="s">
        <v>20</v>
      </c>
      <c r="I12" t="s">
        <v>30</v>
      </c>
      <c r="M12" t="s">
        <v>25</v>
      </c>
      <c r="O12" t="s">
        <v>20</v>
      </c>
      <c r="P12" t="s">
        <v>30</v>
      </c>
    </row>
    <row r="13" spans="5:16" x14ac:dyDescent="0.25">
      <c r="F13" t="s">
        <v>26</v>
      </c>
      <c r="H13" t="s">
        <v>20</v>
      </c>
      <c r="I13" t="s">
        <v>31</v>
      </c>
      <c r="M13" t="s">
        <v>26</v>
      </c>
      <c r="O13" t="s">
        <v>20</v>
      </c>
      <c r="P13" t="s">
        <v>31</v>
      </c>
    </row>
    <row r="14" spans="5:16" x14ac:dyDescent="0.25">
      <c r="F14" t="s">
        <v>6</v>
      </c>
      <c r="H14" t="s">
        <v>20</v>
      </c>
      <c r="I14" t="s">
        <v>32</v>
      </c>
      <c r="M14" t="s">
        <v>6</v>
      </c>
      <c r="O14" t="s">
        <v>20</v>
      </c>
      <c r="P14" t="s">
        <v>32</v>
      </c>
    </row>
    <row r="15" spans="5:16" x14ac:dyDescent="0.25">
      <c r="F15" t="s">
        <v>7</v>
      </c>
      <c r="H15" t="s">
        <v>20</v>
      </c>
      <c r="I15" t="s">
        <v>33</v>
      </c>
      <c r="M15" t="s">
        <v>7</v>
      </c>
      <c r="O15" t="s">
        <v>20</v>
      </c>
      <c r="P15" t="s">
        <v>33</v>
      </c>
    </row>
    <row r="16" spans="5:16" x14ac:dyDescent="0.25">
      <c r="F16" s="2" t="s">
        <v>38</v>
      </c>
      <c r="G16" s="1"/>
      <c r="H16" t="s">
        <v>20</v>
      </c>
      <c r="M16" s="2" t="s">
        <v>38</v>
      </c>
      <c r="N16" s="1"/>
      <c r="O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Lundgren</dc:creator>
  <cp:lastModifiedBy>Kent Lundgren</cp:lastModifiedBy>
  <dcterms:created xsi:type="dcterms:W3CDTF">2026-08-03T21:03:14Z</dcterms:created>
  <dcterms:modified xsi:type="dcterms:W3CDTF">2026-08-04T14:14:17Z</dcterms:modified>
</cp:coreProperties>
</file>