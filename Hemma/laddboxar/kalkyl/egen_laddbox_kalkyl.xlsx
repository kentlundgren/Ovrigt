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68e0e598e90526/AI/Claude/Ovrigt/Hemma/laddboxar/kalkyl/"/>
    </mc:Choice>
  </mc:AlternateContent>
  <xr:revisionPtr revIDLastSave="174" documentId="8_{F5D5A4B3-B6F8-4C1B-B128-73D814372602}" xr6:coauthVersionLast="47" xr6:coauthVersionMax="47" xr10:uidLastSave="{58B973AD-5203-4494-92FD-033F554AD6C8}"/>
  <bookViews>
    <workbookView xWindow="-120" yWindow="-120" windowWidth="29040" windowHeight="15720" activeTab="2" xr2:uid="{A09AED65-6D04-41FB-A934-B57BAB721136}"/>
  </bookViews>
  <sheets>
    <sheet name="Blad1" sheetId="1" r:id="rId1"/>
    <sheet name="Blad2" sheetId="2" r:id="rId2"/>
    <sheet name="Blad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9" i="3" l="1"/>
  <c r="U14" i="3"/>
  <c r="T14" i="3"/>
  <c r="T23" i="3" s="1"/>
  <c r="T36" i="3"/>
  <c r="T31" i="3"/>
  <c r="V30" i="3"/>
  <c r="U23" i="3"/>
  <c r="N34" i="2"/>
  <c r="U29" i="2"/>
  <c r="U14" i="2"/>
  <c r="V29" i="2"/>
  <c r="T36" i="2"/>
  <c r="V30" i="2"/>
  <c r="U31" i="2"/>
  <c r="T31" i="2"/>
  <c r="U23" i="2"/>
  <c r="T23" i="2"/>
  <c r="G18" i="1"/>
  <c r="G25" i="1"/>
  <c r="G31" i="1"/>
  <c r="H9" i="1"/>
  <c r="H8" i="1"/>
  <c r="H10" i="1" s="1"/>
  <c r="R24" i="1"/>
  <c r="R23" i="1"/>
  <c r="R25" i="1" s="1"/>
  <c r="H30" i="1"/>
  <c r="H29" i="1"/>
  <c r="H31" i="1" s="1"/>
  <c r="H24" i="1"/>
  <c r="H23" i="1"/>
  <c r="H25" i="1" s="1"/>
  <c r="H17" i="1"/>
  <c r="H16" i="1"/>
  <c r="H3" i="1"/>
  <c r="U31" i="3" l="1"/>
  <c r="V29" i="3"/>
  <c r="V31" i="3" s="1"/>
  <c r="U35" i="3"/>
  <c r="U34" i="3"/>
  <c r="U34" i="2"/>
  <c r="U35" i="2"/>
  <c r="V35" i="2" s="1"/>
  <c r="V31" i="2"/>
  <c r="H18" i="1"/>
  <c r="N34" i="3" l="1"/>
  <c r="V35" i="3"/>
  <c r="V34" i="3"/>
  <c r="V36" i="3" s="1"/>
  <c r="U36" i="3"/>
  <c r="U36" i="2"/>
  <c r="V34" i="2"/>
  <c r="V36" i="2" s="1"/>
</calcChain>
</file>

<file path=xl/sharedStrings.xml><?xml version="1.0" encoding="utf-8"?>
<sst xmlns="http://schemas.openxmlformats.org/spreadsheetml/2006/main" count="64" uniqueCount="18">
  <si>
    <t>TOT</t>
  </si>
  <si>
    <t>kr/mån</t>
  </si>
  <si>
    <t>antal</t>
  </si>
  <si>
    <t>Summa</t>
  </si>
  <si>
    <t>De med laddbox:</t>
  </si>
  <si>
    <t>De utan laddbox :</t>
  </si>
  <si>
    <t>Tänkt fördelning av ökad kostnad för förstärkt nät (63 A, trefas)</t>
  </si>
  <si>
    <t>Jämn fördelning av ökad kostnad för förstärkt nät (63 A, trefas)</t>
  </si>
  <si>
    <t>SUMMA:</t>
  </si>
  <si>
    <t>per medlem</t>
  </si>
  <si>
    <t>Med sex laddboxar</t>
  </si>
  <si>
    <t>Utan Laddboxar</t>
  </si>
  <si>
    <t>Alt A (med ladboxar)</t>
  </si>
  <si>
    <t>Alt B (Ingen laddbox)</t>
  </si>
  <si>
    <t>Kommentar</t>
  </si>
  <si>
    <t>(8 000 kr i för själva  laddboxen)</t>
  </si>
  <si>
    <t>Har tagit bort 6 000*6, för att inga laddboxar installeras</t>
  </si>
  <si>
    <t>Med moms. Har tagit bort 6 000*6, för att inga laddboxar installeras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</si>
</sst>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3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right"/>
    </xf>
    <xf numFmtId="3" fontId="0" fillId="2" borderId="0" xfId="0" applyNumberFormat="1" applyFill="1"/>
    <xf numFmtId="3" fontId="1" fillId="2" borderId="0" xfId="0" applyNumberFormat="1" applyFont="1" applyFill="1"/>
    <xf numFmtId="0" fontId="1" fillId="0" borderId="0" xfId="0" applyFont="1" applyAlignment="1">
      <alignment horizontal="left"/>
    </xf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466725</xdr:colOff>
      <xdr:row>2</xdr:row>
      <xdr:rowOff>104775</xdr:rowOff>
    </xdr:from>
    <xdr:to>
      <xdr:col>28</xdr:col>
      <xdr:colOff>465353</xdr:colOff>
      <xdr:row>18</xdr:row>
      <xdr:rowOff>180590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8B7C55E-1E73-6C59-64AF-6A0BA773E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2725" y="485775"/>
          <a:ext cx="10971428" cy="3076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123825</xdr:colOff>
      <xdr:row>2</xdr:row>
      <xdr:rowOff>85725</xdr:rowOff>
    </xdr:from>
    <xdr:to>
      <xdr:col>17</xdr:col>
      <xdr:colOff>303634</xdr:colOff>
      <xdr:row>24</xdr:row>
      <xdr:rowOff>75677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6C183DC1-987B-537C-D883-9B16E95D8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3025" y="466725"/>
          <a:ext cx="9323809" cy="4180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2</xdr:row>
      <xdr:rowOff>85725</xdr:rowOff>
    </xdr:from>
    <xdr:to>
      <xdr:col>16</xdr:col>
      <xdr:colOff>541759</xdr:colOff>
      <xdr:row>24</xdr:row>
      <xdr:rowOff>28052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E6BCCAD9-98C2-420B-9B43-57699F426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" y="466725"/>
          <a:ext cx="9323809" cy="41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67D2-7783-4FF6-A919-4905669F0636}">
  <dimension ref="D3:R31"/>
  <sheetViews>
    <sheetView workbookViewId="0">
      <selection activeCell="H25" sqref="D22:H25"/>
    </sheetView>
  </sheetViews>
  <sheetFormatPr defaultRowHeight="15" x14ac:dyDescent="0.25"/>
  <sheetData>
    <row r="3" spans="4:9" x14ac:dyDescent="0.25">
      <c r="F3">
        <v>94</v>
      </c>
      <c r="G3">
        <v>23</v>
      </c>
      <c r="H3">
        <f>F3*G3</f>
        <v>2162</v>
      </c>
      <c r="I3" t="s">
        <v>0</v>
      </c>
    </row>
    <row r="5" spans="4:9" x14ac:dyDescent="0.25">
      <c r="D5" s="1" t="s">
        <v>7</v>
      </c>
    </row>
    <row r="6" spans="4:9" ht="11.25" customHeight="1" x14ac:dyDescent="0.25"/>
    <row r="7" spans="4:9" x14ac:dyDescent="0.25">
      <c r="F7" s="3" t="s">
        <v>1</v>
      </c>
      <c r="G7" s="3" t="s">
        <v>2</v>
      </c>
      <c r="H7" s="3" t="s">
        <v>3</v>
      </c>
    </row>
    <row r="8" spans="4:9" x14ac:dyDescent="0.25">
      <c r="E8" s="4" t="s">
        <v>4</v>
      </c>
      <c r="F8" s="2">
        <v>94</v>
      </c>
      <c r="G8">
        <v>6</v>
      </c>
      <c r="H8" s="2">
        <f>F8*G8</f>
        <v>564</v>
      </c>
    </row>
    <row r="9" spans="4:9" x14ac:dyDescent="0.25">
      <c r="E9" s="4" t="s">
        <v>5</v>
      </c>
      <c r="F9">
        <v>94</v>
      </c>
      <c r="G9">
        <v>17</v>
      </c>
      <c r="H9" s="2">
        <f>F9*G9</f>
        <v>1598</v>
      </c>
    </row>
    <row r="10" spans="4:9" x14ac:dyDescent="0.25">
      <c r="E10" s="4"/>
      <c r="H10" s="5">
        <f>SUM(H8:H9)</f>
        <v>2162</v>
      </c>
    </row>
    <row r="11" spans="4:9" x14ac:dyDescent="0.25">
      <c r="H11" s="5"/>
    </row>
    <row r="12" spans="4:9" x14ac:dyDescent="0.25">
      <c r="H12" s="5"/>
    </row>
    <row r="13" spans="4:9" x14ac:dyDescent="0.25">
      <c r="D13" s="1" t="s">
        <v>6</v>
      </c>
      <c r="H13" s="2"/>
    </row>
    <row r="14" spans="4:9" x14ac:dyDescent="0.25">
      <c r="D14" s="1"/>
      <c r="H14" s="2"/>
    </row>
    <row r="15" spans="4:9" x14ac:dyDescent="0.25">
      <c r="F15" s="3" t="s">
        <v>1</v>
      </c>
      <c r="G15" s="3" t="s">
        <v>2</v>
      </c>
      <c r="H15" s="6" t="s">
        <v>3</v>
      </c>
    </row>
    <row r="16" spans="4:9" x14ac:dyDescent="0.25">
      <c r="E16" s="4" t="s">
        <v>4</v>
      </c>
      <c r="F16" s="2">
        <v>218.66666666666654</v>
      </c>
      <c r="G16">
        <v>6</v>
      </c>
      <c r="H16" s="2">
        <f>F16*G16</f>
        <v>1311.9999999999993</v>
      </c>
    </row>
    <row r="17" spans="5:18" x14ac:dyDescent="0.25">
      <c r="E17" s="4" t="s">
        <v>5</v>
      </c>
      <c r="F17">
        <v>50</v>
      </c>
      <c r="G17">
        <v>17</v>
      </c>
      <c r="H17" s="2">
        <f>F17*G17</f>
        <v>850</v>
      </c>
    </row>
    <row r="18" spans="5:18" x14ac:dyDescent="0.25">
      <c r="E18" s="4"/>
      <c r="G18" s="1">
        <f>SUM(G16:G17)</f>
        <v>23</v>
      </c>
      <c r="H18" s="5">
        <f>SUM(H16:H17)</f>
        <v>2161.9999999999991</v>
      </c>
    </row>
    <row r="19" spans="5:18" x14ac:dyDescent="0.25">
      <c r="H19" s="2"/>
    </row>
    <row r="20" spans="5:18" x14ac:dyDescent="0.25">
      <c r="H20" s="2"/>
    </row>
    <row r="21" spans="5:18" x14ac:dyDescent="0.25">
      <c r="H21" s="2"/>
    </row>
    <row r="22" spans="5:18" x14ac:dyDescent="0.25">
      <c r="F22" s="3" t="s">
        <v>1</v>
      </c>
      <c r="G22" s="3" t="s">
        <v>2</v>
      </c>
      <c r="H22" s="6" t="s">
        <v>3</v>
      </c>
      <c r="P22" s="3" t="s">
        <v>1</v>
      </c>
      <c r="Q22" s="3" t="s">
        <v>2</v>
      </c>
      <c r="R22" s="3" t="s">
        <v>3</v>
      </c>
    </row>
    <row r="23" spans="5:18" x14ac:dyDescent="0.25">
      <c r="E23" s="4" t="s">
        <v>4</v>
      </c>
      <c r="F23" s="2">
        <v>194.57142857142867</v>
      </c>
      <c r="G23">
        <v>7</v>
      </c>
      <c r="H23" s="2">
        <f>F23*G23</f>
        <v>1362.0000000000007</v>
      </c>
      <c r="O23" s="4" t="s">
        <v>4</v>
      </c>
      <c r="P23" s="2">
        <v>94</v>
      </c>
      <c r="Q23">
        <v>6</v>
      </c>
      <c r="R23">
        <f>P23*Q23</f>
        <v>564</v>
      </c>
    </row>
    <row r="24" spans="5:18" x14ac:dyDescent="0.25">
      <c r="E24" s="4" t="s">
        <v>5</v>
      </c>
      <c r="F24">
        <v>50</v>
      </c>
      <c r="G24">
        <v>16</v>
      </c>
      <c r="H24" s="2">
        <f>F24*G24</f>
        <v>800</v>
      </c>
      <c r="O24" s="4" t="s">
        <v>5</v>
      </c>
      <c r="P24">
        <v>94</v>
      </c>
      <c r="Q24">
        <v>17</v>
      </c>
      <c r="R24">
        <f>P24*Q24</f>
        <v>1598</v>
      </c>
    </row>
    <row r="25" spans="5:18" x14ac:dyDescent="0.25">
      <c r="E25" s="4"/>
      <c r="G25" s="1">
        <f>SUM(G23:G24)</f>
        <v>23</v>
      </c>
      <c r="H25" s="5">
        <f>SUM(H23:H24)</f>
        <v>2162.0000000000009</v>
      </c>
      <c r="O25" s="4"/>
      <c r="R25" s="1">
        <f>SUM(R23:R24)</f>
        <v>2162</v>
      </c>
    </row>
    <row r="26" spans="5:18" x14ac:dyDescent="0.25">
      <c r="H26" s="2"/>
    </row>
    <row r="27" spans="5:18" x14ac:dyDescent="0.25">
      <c r="H27" s="2"/>
    </row>
    <row r="28" spans="5:18" x14ac:dyDescent="0.25">
      <c r="F28" s="3" t="s">
        <v>1</v>
      </c>
      <c r="G28" s="3" t="s">
        <v>2</v>
      </c>
      <c r="H28" s="6" t="s">
        <v>3</v>
      </c>
    </row>
    <row r="29" spans="5:18" x14ac:dyDescent="0.25">
      <c r="E29" s="4" t="s">
        <v>4</v>
      </c>
      <c r="F29" s="2">
        <v>176.5</v>
      </c>
      <c r="G29">
        <v>8</v>
      </c>
      <c r="H29" s="2">
        <f>F29*G29</f>
        <v>1412</v>
      </c>
    </row>
    <row r="30" spans="5:18" x14ac:dyDescent="0.25">
      <c r="E30" s="4" t="s">
        <v>5</v>
      </c>
      <c r="F30">
        <v>50</v>
      </c>
      <c r="G30">
        <v>15</v>
      </c>
      <c r="H30" s="2">
        <f>F30*G30</f>
        <v>750</v>
      </c>
    </row>
    <row r="31" spans="5:18" x14ac:dyDescent="0.25">
      <c r="E31" s="4"/>
      <c r="G31" s="1">
        <f>SUM(G29:G30)</f>
        <v>23</v>
      </c>
      <c r="H31" s="5">
        <f>SUM(H29:H30)</f>
        <v>2162</v>
      </c>
    </row>
  </sheetData>
  <sheetProtection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26F4-4C9B-4364-8A3A-3CB00EDA31E1}">
  <dimension ref="N13:W36"/>
  <sheetViews>
    <sheetView topLeftCell="A8" workbookViewId="0">
      <selection activeCell="N34" sqref="N34"/>
    </sheetView>
  </sheetViews>
  <sheetFormatPr defaultRowHeight="15" x14ac:dyDescent="0.25"/>
  <cols>
    <col min="21" max="21" width="19.85546875" customWidth="1"/>
    <col min="22" max="22" width="24.42578125" customWidth="1"/>
  </cols>
  <sheetData>
    <row r="13" spans="20:22" x14ac:dyDescent="0.25">
      <c r="T13" s="3" t="s">
        <v>12</v>
      </c>
      <c r="U13" s="14" t="s">
        <v>13</v>
      </c>
      <c r="V13" s="1" t="s">
        <v>14</v>
      </c>
    </row>
    <row r="14" spans="20:22" x14ac:dyDescent="0.25">
      <c r="T14" s="2">
        <v>208093</v>
      </c>
      <c r="U14" s="2">
        <f>208093-6*6000</f>
        <v>172093</v>
      </c>
      <c r="V14" t="s">
        <v>16</v>
      </c>
    </row>
    <row r="15" spans="20:22" x14ac:dyDescent="0.25">
      <c r="T15" s="2">
        <v>-90000</v>
      </c>
      <c r="U15" s="2"/>
    </row>
    <row r="16" spans="20:22" x14ac:dyDescent="0.25">
      <c r="T16" s="2"/>
      <c r="U16" s="2"/>
    </row>
    <row r="17" spans="17:23" x14ac:dyDescent="0.25">
      <c r="T17" s="2"/>
      <c r="U17" s="2"/>
    </row>
    <row r="18" spans="17:23" x14ac:dyDescent="0.25">
      <c r="T18" s="2">
        <v>35875</v>
      </c>
      <c r="U18" s="2">
        <v>35875</v>
      </c>
    </row>
    <row r="19" spans="17:23" x14ac:dyDescent="0.25">
      <c r="T19" s="2"/>
      <c r="U19" s="2"/>
    </row>
    <row r="20" spans="17:23" x14ac:dyDescent="0.25">
      <c r="T20" s="2"/>
      <c r="U20" s="2"/>
    </row>
    <row r="23" spans="17:23" x14ac:dyDescent="0.25">
      <c r="S23" s="3" t="s">
        <v>8</v>
      </c>
      <c r="T23" s="5">
        <f>SUM(T14:T18)</f>
        <v>153968</v>
      </c>
      <c r="U23" s="5">
        <f>SUM(U14:U18)</f>
        <v>207968</v>
      </c>
    </row>
    <row r="26" spans="17:23" x14ac:dyDescent="0.25">
      <c r="S26" s="4"/>
      <c r="T26" s="5"/>
      <c r="U26" s="5"/>
    </row>
    <row r="28" spans="17:23" x14ac:dyDescent="0.25">
      <c r="Q28" s="7" t="s">
        <v>10</v>
      </c>
      <c r="R28" s="8"/>
      <c r="S28" s="8"/>
      <c r="T28" s="9" t="s">
        <v>2</v>
      </c>
      <c r="U28" s="10" t="s">
        <v>9</v>
      </c>
      <c r="V28" s="9" t="s">
        <v>0</v>
      </c>
    </row>
    <row r="29" spans="17:23" x14ac:dyDescent="0.25">
      <c r="Q29" s="8"/>
      <c r="R29" s="8"/>
      <c r="S29" s="11" t="s">
        <v>4</v>
      </c>
      <c r="T29" s="8">
        <v>6</v>
      </c>
      <c r="U29" s="12">
        <f>8000+T23/23</f>
        <v>14694.260869565216</v>
      </c>
      <c r="V29" s="12">
        <f>T29*U29</f>
        <v>88165.565217391297</v>
      </c>
      <c r="W29" s="15" t="s">
        <v>15</v>
      </c>
    </row>
    <row r="30" spans="17:23" x14ac:dyDescent="0.25">
      <c r="Q30" s="8"/>
      <c r="R30" s="8"/>
      <c r="S30" s="11" t="s">
        <v>5</v>
      </c>
      <c r="T30" s="8">
        <v>17</v>
      </c>
      <c r="U30" s="12">
        <v>3870.7314578005098</v>
      </c>
      <c r="V30" s="12">
        <f>T30*U30</f>
        <v>65802.434782608674</v>
      </c>
    </row>
    <row r="31" spans="17:23" x14ac:dyDescent="0.25">
      <c r="Q31" s="8"/>
      <c r="R31" s="8"/>
      <c r="S31" s="11"/>
      <c r="T31" s="7">
        <f>SUM(T29:T30)</f>
        <v>23</v>
      </c>
      <c r="U31" s="13">
        <f>SUM(U29:U30)</f>
        <v>18564.992327365726</v>
      </c>
      <c r="V31" s="13">
        <f>SUM(V29:V30)</f>
        <v>153967.99999999997</v>
      </c>
    </row>
    <row r="33" spans="14:22" x14ac:dyDescent="0.25">
      <c r="Q33" s="7" t="s">
        <v>11</v>
      </c>
      <c r="R33" s="8"/>
      <c r="S33" s="8"/>
      <c r="T33" s="9" t="s">
        <v>2</v>
      </c>
      <c r="U33" s="10" t="s">
        <v>9</v>
      </c>
      <c r="V33" s="9" t="s">
        <v>0</v>
      </c>
    </row>
    <row r="34" spans="14:22" x14ac:dyDescent="0.25">
      <c r="N34" s="2">
        <f>8000+U35</f>
        <v>17042.08695652174</v>
      </c>
      <c r="Q34" s="8"/>
      <c r="R34" s="8"/>
      <c r="S34" s="11" t="s">
        <v>5</v>
      </c>
      <c r="T34" s="8">
        <v>6</v>
      </c>
      <c r="U34" s="12">
        <f>U23/23</f>
        <v>9042.0869565217399</v>
      </c>
      <c r="V34" s="12">
        <f>T34*U34</f>
        <v>54252.52173913044</v>
      </c>
    </row>
    <row r="35" spans="14:22" x14ac:dyDescent="0.25">
      <c r="Q35" s="8"/>
      <c r="R35" s="8"/>
      <c r="S35" s="11" t="s">
        <v>5</v>
      </c>
      <c r="T35" s="8">
        <v>17</v>
      </c>
      <c r="U35" s="12">
        <f>U23/23</f>
        <v>9042.0869565217399</v>
      </c>
      <c r="V35" s="12">
        <f>T35*U35</f>
        <v>153715.47826086957</v>
      </c>
    </row>
    <row r="36" spans="14:22" x14ac:dyDescent="0.25">
      <c r="Q36" s="8"/>
      <c r="R36" s="8"/>
      <c r="S36" s="11"/>
      <c r="T36" s="7">
        <f>SUM(T34:T35)</f>
        <v>23</v>
      </c>
      <c r="U36" s="13">
        <f>SUM(U34:U35)</f>
        <v>18084.17391304348</v>
      </c>
      <c r="V36" s="13">
        <f>SUM(V34:V35)</f>
        <v>207968</v>
      </c>
    </row>
  </sheetData>
  <sheetProtection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73926-E294-4805-8D00-5BC123913720}">
  <dimension ref="N13:W36"/>
  <sheetViews>
    <sheetView tabSelected="1" topLeftCell="A8" workbookViewId="0">
      <selection activeCell="N32" sqref="N32"/>
    </sheetView>
  </sheetViews>
  <sheetFormatPr defaultRowHeight="15" x14ac:dyDescent="0.25"/>
  <cols>
    <col min="21" max="21" width="25.42578125" customWidth="1"/>
    <col min="22" max="22" width="24.42578125" customWidth="1"/>
  </cols>
  <sheetData>
    <row r="13" spans="19:22" ht="18.75" x14ac:dyDescent="0.3">
      <c r="S13" s="16"/>
      <c r="T13" s="17" t="s">
        <v>12</v>
      </c>
      <c r="U13" s="19" t="s">
        <v>13</v>
      </c>
      <c r="V13" s="18" t="s">
        <v>14</v>
      </c>
    </row>
    <row r="14" spans="19:22" x14ac:dyDescent="0.25">
      <c r="T14" s="2">
        <f>208093*1.25</f>
        <v>260116.25</v>
      </c>
      <c r="U14" s="2">
        <f>(208093-6*6000)*1.25</f>
        <v>215116.25</v>
      </c>
      <c r="V14" t="s">
        <v>17</v>
      </c>
    </row>
    <row r="15" spans="19:22" x14ac:dyDescent="0.25">
      <c r="T15" s="2">
        <v>-90000</v>
      </c>
      <c r="U15" s="2"/>
    </row>
    <row r="16" spans="19:22" x14ac:dyDescent="0.25">
      <c r="T16" s="2"/>
      <c r="U16" s="2"/>
    </row>
    <row r="17" spans="17:23" x14ac:dyDescent="0.25">
      <c r="T17" s="2"/>
      <c r="U17" s="2"/>
    </row>
    <row r="18" spans="17:23" x14ac:dyDescent="0.25">
      <c r="T18" s="2">
        <v>35875</v>
      </c>
      <c r="U18" s="2">
        <v>35875</v>
      </c>
    </row>
    <row r="19" spans="17:23" x14ac:dyDescent="0.25">
      <c r="T19" s="2"/>
      <c r="U19" s="2"/>
    </row>
    <row r="20" spans="17:23" x14ac:dyDescent="0.25">
      <c r="T20" s="2"/>
      <c r="U20" s="2"/>
    </row>
    <row r="23" spans="17:23" x14ac:dyDescent="0.25">
      <c r="S23" s="3" t="s">
        <v>8</v>
      </c>
      <c r="T23" s="5">
        <f>SUM(T14:T18)</f>
        <v>205991.25</v>
      </c>
      <c r="U23" s="5">
        <f>SUM(U14:U18)</f>
        <v>250991.25</v>
      </c>
    </row>
    <row r="26" spans="17:23" x14ac:dyDescent="0.25">
      <c r="S26" s="4"/>
      <c r="T26" s="5"/>
      <c r="U26" s="5"/>
    </row>
    <row r="28" spans="17:23" x14ac:dyDescent="0.25">
      <c r="Q28" s="7" t="s">
        <v>10</v>
      </c>
      <c r="R28" s="8"/>
      <c r="S28" s="8"/>
      <c r="T28" s="9" t="s">
        <v>2</v>
      </c>
      <c r="U28" s="10" t="s">
        <v>9</v>
      </c>
      <c r="V28" s="9" t="s">
        <v>0</v>
      </c>
    </row>
    <row r="29" spans="17:23" x14ac:dyDescent="0.25">
      <c r="Q29" s="8"/>
      <c r="R29" s="8"/>
      <c r="S29" s="11" t="s">
        <v>4</v>
      </c>
      <c r="T29" s="8">
        <v>6</v>
      </c>
      <c r="U29" s="12">
        <f>8000+T23/23</f>
        <v>16956.141304347824</v>
      </c>
      <c r="V29" s="12">
        <f>T29*U29</f>
        <v>101736.84782608695</v>
      </c>
      <c r="W29" s="15" t="s">
        <v>15</v>
      </c>
    </row>
    <row r="30" spans="17:23" x14ac:dyDescent="0.25">
      <c r="Q30" s="8"/>
      <c r="R30" s="8"/>
      <c r="S30" s="11" t="s">
        <v>5</v>
      </c>
      <c r="T30" s="8">
        <v>17</v>
      </c>
      <c r="U30" s="12">
        <v>6132.597186700772</v>
      </c>
      <c r="V30" s="12">
        <f>T30*U30</f>
        <v>104254.15217391313</v>
      </c>
    </row>
    <row r="31" spans="17:23" x14ac:dyDescent="0.25">
      <c r="Q31" s="8"/>
      <c r="R31" s="8"/>
      <c r="S31" s="11"/>
      <c r="T31" s="7">
        <f>SUM(T29:T30)</f>
        <v>23</v>
      </c>
      <c r="U31" s="13">
        <f>SUM(U29:U30)</f>
        <v>23088.738491048596</v>
      </c>
      <c r="V31" s="13">
        <f>SUM(V29:V30)</f>
        <v>205991.00000000006</v>
      </c>
    </row>
    <row r="33" spans="14:22" x14ac:dyDescent="0.25">
      <c r="Q33" s="7" t="s">
        <v>11</v>
      </c>
      <c r="R33" s="8"/>
      <c r="S33" s="8"/>
      <c r="T33" s="9" t="s">
        <v>2</v>
      </c>
      <c r="U33" s="10" t="s">
        <v>9</v>
      </c>
      <c r="V33" s="9" t="s">
        <v>0</v>
      </c>
    </row>
    <row r="34" spans="14:22" x14ac:dyDescent="0.25">
      <c r="N34" s="2">
        <f>8000+U35</f>
        <v>18912.66304347826</v>
      </c>
      <c r="Q34" s="8"/>
      <c r="R34" s="8"/>
      <c r="S34" s="11" t="s">
        <v>5</v>
      </c>
      <c r="T34" s="8">
        <v>6</v>
      </c>
      <c r="U34" s="12">
        <f>U23/23</f>
        <v>10912.66304347826</v>
      </c>
      <c r="V34" s="12">
        <f>T34*U34</f>
        <v>65475.97826086956</v>
      </c>
    </row>
    <row r="35" spans="14:22" x14ac:dyDescent="0.25">
      <c r="Q35" s="8"/>
      <c r="R35" s="8"/>
      <c r="S35" s="11" t="s">
        <v>5</v>
      </c>
      <c r="T35" s="8">
        <v>17</v>
      </c>
      <c r="U35" s="12">
        <f>U23/23</f>
        <v>10912.66304347826</v>
      </c>
      <c r="V35" s="12">
        <f>T35*U35</f>
        <v>185515.27173913043</v>
      </c>
    </row>
    <row r="36" spans="14:22" x14ac:dyDescent="0.25">
      <c r="Q36" s="8"/>
      <c r="R36" s="8"/>
      <c r="S36" s="11"/>
      <c r="T36" s="7">
        <f>SUM(T34:T35)</f>
        <v>23</v>
      </c>
      <c r="U36" s="13">
        <f>SUM(U34:U35)</f>
        <v>21825.32608695652</v>
      </c>
      <c r="V36" s="13">
        <f>SUM(V34:V35)</f>
        <v>250991.25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Lundgren</dc:creator>
  <cp:lastModifiedBy>Kent Lundgren</cp:lastModifiedBy>
  <dcterms:created xsi:type="dcterms:W3CDTF">2026-08-20T23:09:39Z</dcterms:created>
  <dcterms:modified xsi:type="dcterms:W3CDTF">2026-08-23T18:26:57Z</dcterms:modified>
</cp:coreProperties>
</file>